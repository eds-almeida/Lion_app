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/>
  <mc:AlternateContent xmlns:mc="http://schemas.openxmlformats.org/markup-compatibility/2006">
    <mc:Choice Requires="x15">
      <x15ac:absPath xmlns:x15ac="http://schemas.microsoft.com/office/spreadsheetml/2010/11/ac" url="C:\records\raw\Tabelas\Tabela\"/>
    </mc:Choice>
  </mc:AlternateContent>
  <xr:revisionPtr revIDLastSave="0" documentId="13_ncr:1_{42436B1C-5661-4E8F-95BE-80CC6A0709EF}" xr6:coauthVersionLast="47" xr6:coauthVersionMax="47" xr10:uidLastSave="{00000000-0000-0000-0000-000000000000}"/>
  <bookViews>
    <workbookView xWindow="-20610" yWindow="-1350" windowWidth="20730" windowHeight="11760" firstSheet="1" activeTab="1" xr2:uid="{9B43EE6A-42D0-4D3D-B440-98E4ADBDC982}"/>
  </bookViews>
  <sheets>
    <sheet name="Colunar" sheetId="1" r:id="rId1"/>
    <sheet name="Registros" sheetId="3" r:id="rId2"/>
  </sheets>
  <definedNames>
    <definedName name="_xlnm._FilterDatabase" localSheetId="0" hidden="1">Colunar!$A$1:$K$4</definedName>
    <definedName name="_xlnm._FilterDatabase" localSheetId="1" hidden="1">Registros!$B$1:$E$3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16" i="3"/>
  <c r="F3" i="3"/>
  <c r="F4" i="3"/>
  <c r="F5" i="3"/>
  <c r="F6" i="3"/>
  <c r="F7" i="3"/>
  <c r="F8" i="3"/>
  <c r="F9" i="3"/>
  <c r="F10" i="3"/>
  <c r="F11" i="3"/>
  <c r="F12" i="3"/>
  <c r="F13" i="3"/>
  <c r="F14" i="3"/>
  <c r="F15" i="3"/>
</calcChain>
</file>

<file path=xl/sharedStrings.xml><?xml version="1.0" encoding="utf-8"?>
<sst xmlns="http://schemas.openxmlformats.org/spreadsheetml/2006/main" count="47" uniqueCount="24">
  <si>
    <t>DATA DA OPERAÇÃO</t>
  </si>
  <si>
    <t>QUANTIDADE COMPRADA</t>
  </si>
  <si>
    <t>VALOR PAGO POR AÇÃO</t>
  </si>
  <si>
    <t>AÇÃO</t>
  </si>
  <si>
    <t>AAPL34</t>
  </si>
  <si>
    <t>NVDC34</t>
  </si>
  <si>
    <t>ATVI34</t>
  </si>
  <si>
    <t>Id de Operação</t>
  </si>
  <si>
    <t>TOTAL</t>
  </si>
  <si>
    <t>op-01</t>
  </si>
  <si>
    <t>op-02</t>
  </si>
  <si>
    <t>op-03</t>
  </si>
  <si>
    <t>op-04</t>
  </si>
  <si>
    <t>op-05</t>
  </si>
  <si>
    <t>op-06</t>
  </si>
  <si>
    <t>op-07</t>
  </si>
  <si>
    <t>op-08</t>
  </si>
  <si>
    <t>op-09</t>
  </si>
  <si>
    <t>op-10</t>
  </si>
  <si>
    <t>op-11</t>
  </si>
  <si>
    <t>op-12</t>
  </si>
  <si>
    <t>op-13</t>
  </si>
  <si>
    <t>op-14</t>
  </si>
  <si>
    <t>op-15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</si>
</sst>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1" applyFont="1" applyFill="1" applyBorder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1F4B2-AF56-46D7-9C30-07FA3C8F4D18}" name="Tabela1" displayName="Tabela1" ref="A1:F17" totalsRowShown="0" headerRowDxfId="6">
  <autoFilter ref="A1:F17" xr:uid="{CE51F4B2-AF56-46D7-9C30-07FA3C8F4D18}"/>
  <tableColumns count="6">
    <tableColumn id="1" xr3:uid="{888705B1-C30A-42DA-AA40-83FDCBA5BE6B}" name="Id de Operação" dataDxfId="5"/>
    <tableColumn id="2" xr3:uid="{4001E9CB-DBBC-4D43-8F80-2C2EE9EF6D32}" name="DATA DA OPERAÇÃO" dataDxfId="4"/>
    <tableColumn id="3" xr3:uid="{4B2381DE-DFB2-48CD-8506-6CEC0F1D0F10}" name="AÇÃO" dataDxfId="3"/>
    <tableColumn id="4" xr3:uid="{A0F364E5-C407-42A8-9D87-65D187125626}" name="QUANTIDADE COMPRADA" dataDxfId="2"/>
    <tableColumn id="5" xr3:uid="{33BBCE8D-E22C-4913-B51B-E1B6CE1C8AF1}" name="VALOR PAGO POR AÇÃO" dataDxfId="1" dataCellStyle="Moeda"/>
    <tableColumn id="6" xr3:uid="{F8886044-70EB-4409-A09B-7B027F49329F}" name="TOTAL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686A-D827-4A7F-8C00-77927A917F0C}">
  <dimension ref="A1:K8"/>
  <sheetViews>
    <sheetView zoomScale="190" zoomScaleNormal="190" workbookViewId="0">
      <selection activeCell="B1" sqref="B1"/>
    </sheetView>
  </sheetViews>
  <sheetFormatPr defaultRowHeight="15"/>
  <cols>
    <col min="1" max="1" width="23.42578125" bestFit="1" customWidth="1"/>
    <col min="2" max="11" width="11.140625" bestFit="1" customWidth="1"/>
  </cols>
  <sheetData>
    <row r="1" spans="1:11">
      <c r="A1" s="2" t="s">
        <v>0</v>
      </c>
      <c r="B1" s="1">
        <v>45708</v>
      </c>
      <c r="C1" s="1">
        <v>45709</v>
      </c>
      <c r="D1" s="1">
        <v>45710</v>
      </c>
      <c r="E1" s="1">
        <v>45711</v>
      </c>
      <c r="F1" s="1">
        <v>45712</v>
      </c>
      <c r="G1" s="1">
        <v>45713</v>
      </c>
      <c r="H1" s="1">
        <v>45714</v>
      </c>
      <c r="I1" s="1">
        <v>45715</v>
      </c>
      <c r="J1" s="1">
        <v>45716</v>
      </c>
      <c r="K1" s="1">
        <v>45717</v>
      </c>
    </row>
    <row r="2" spans="1:11">
      <c r="A2" t="s">
        <v>1</v>
      </c>
      <c r="B2" s="4">
        <v>3</v>
      </c>
      <c r="C2" s="4">
        <v>2</v>
      </c>
      <c r="D2" s="4">
        <v>1</v>
      </c>
      <c r="E2" s="4"/>
      <c r="F2" s="4"/>
      <c r="G2" s="4"/>
      <c r="H2" s="4"/>
      <c r="I2" s="4"/>
      <c r="J2" s="4"/>
      <c r="K2" s="4"/>
    </row>
    <row r="3" spans="1:11">
      <c r="A3" t="s">
        <v>2</v>
      </c>
      <c r="B3" s="5">
        <v>10.92</v>
      </c>
      <c r="C3" s="5">
        <v>10.97</v>
      </c>
      <c r="D3" s="5">
        <v>10.91</v>
      </c>
      <c r="E3" s="5"/>
      <c r="F3" s="5"/>
      <c r="G3" s="5"/>
      <c r="H3" s="5"/>
      <c r="I3" s="5"/>
      <c r="J3" s="5"/>
      <c r="K3" s="5"/>
    </row>
    <row r="4" spans="1:11">
      <c r="A4" t="s">
        <v>3</v>
      </c>
      <c r="B4" s="3" t="s">
        <v>4</v>
      </c>
      <c r="C4" s="3" t="s">
        <v>5</v>
      </c>
      <c r="D4" s="3" t="s">
        <v>6</v>
      </c>
      <c r="E4" s="3"/>
      <c r="F4" s="3"/>
      <c r="G4" s="3"/>
      <c r="H4" s="3"/>
      <c r="I4" s="3"/>
      <c r="J4" s="3"/>
      <c r="K4" s="3"/>
    </row>
    <row r="6" spans="1:11">
      <c r="A6" t="s">
        <v>1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</row>
    <row r="7" spans="1:11">
      <c r="A7" t="s">
        <v>2</v>
      </c>
      <c r="B7" s="5">
        <v>11.92</v>
      </c>
      <c r="C7" s="5"/>
      <c r="D7" s="5"/>
      <c r="E7" s="5"/>
      <c r="F7" s="5"/>
      <c r="G7" s="5"/>
      <c r="H7" s="5"/>
      <c r="I7" s="5"/>
      <c r="J7" s="5"/>
      <c r="K7" s="5"/>
    </row>
    <row r="8" spans="1:11">
      <c r="A8" t="s">
        <v>3</v>
      </c>
      <c r="B8" s="3" t="s">
        <v>5</v>
      </c>
      <c r="C8" s="3"/>
      <c r="D8" s="3"/>
      <c r="E8" s="3"/>
      <c r="F8" s="3"/>
      <c r="G8" s="3"/>
      <c r="H8" s="3"/>
      <c r="I8" s="3"/>
      <c r="J8" s="3"/>
      <c r="K8" s="3"/>
    </row>
  </sheetData>
  <autoFilter ref="A1:K4" xr:uid="{A1F3686A-D827-4A7F-8C00-77927A917F0C}"/>
  <dataValidations count="1">
    <dataValidation type="list" allowBlank="1" showInputMessage="1" showErrorMessage="1" sqref="B4:K4 B8:K8" xr:uid="{48D29EDC-6887-4539-AF8E-4A599A223629}">
      <formula1>"AAPL34,ATVI34,NVDC34"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E8DF-B7D8-4B5F-89F9-2E22796A538C}">
  <dimension ref="A1:F16"/>
  <sheetViews>
    <sheetView tabSelected="1" zoomScale="150" zoomScaleNormal="150" workbookViewId="0">
      <selection activeCell="C5" sqref="C5"/>
    </sheetView>
  </sheetViews>
  <sheetFormatPr defaultRowHeight="15"/>
  <cols>
    <col min="1" max="1" width="14.85546875" customWidth="1"/>
    <col min="2" max="2" width="19.5703125" customWidth="1"/>
    <col min="3" max="3" width="11.28515625" customWidth="1"/>
    <col min="4" max="4" width="24.140625" customWidth="1"/>
    <col min="5" max="5" width="22.7109375" customWidth="1"/>
    <col min="6" max="6" width="11.140625" bestFit="1" customWidth="1"/>
  </cols>
  <sheetData>
    <row r="1" spans="1:6">
      <c r="A1" s="2" t="s">
        <v>7</v>
      </c>
      <c r="B1" s="6" t="s">
        <v>0</v>
      </c>
      <c r="C1" s="6" t="s">
        <v>3</v>
      </c>
      <c r="D1" s="6" t="s">
        <v>1</v>
      </c>
      <c r="E1" s="6" t="s">
        <v>2</v>
      </c>
      <c r="F1" s="6" t="s">
        <v>8</v>
      </c>
    </row>
    <row r="2" spans="1:6">
      <c r="A2" s="12" t="s">
        <v>9</v>
      </c>
      <c r="B2" s="7">
        <v>45708</v>
      </c>
      <c r="C2" s="8" t="s">
        <v>4</v>
      </c>
      <c r="D2" s="9">
        <v>1</v>
      </c>
      <c r="E2" s="10">
        <v>10.92</v>
      </c>
      <c r="F2" s="11">
        <f>Registros!$D2*Registros!$E2</f>
        <v>10.92</v>
      </c>
    </row>
    <row r="3" spans="1:6">
      <c r="A3" s="12" t="s">
        <v>10</v>
      </c>
      <c r="B3" s="7">
        <v>45708</v>
      </c>
      <c r="C3" s="8" t="s">
        <v>5</v>
      </c>
      <c r="D3" s="9">
        <v>2</v>
      </c>
      <c r="E3" s="10">
        <v>19.899999999999999</v>
      </c>
      <c r="F3" s="11">
        <f>Registros!$D3*Registros!$E3</f>
        <v>39.799999999999997</v>
      </c>
    </row>
    <row r="4" spans="1:6">
      <c r="A4" s="12" t="s">
        <v>11</v>
      </c>
      <c r="B4" s="7">
        <v>45709</v>
      </c>
      <c r="C4" s="8" t="s">
        <v>4</v>
      </c>
      <c r="D4" s="9">
        <v>2</v>
      </c>
      <c r="E4" s="10">
        <v>15</v>
      </c>
      <c r="F4" s="11">
        <f>Registros!$D4*Registros!$E4</f>
        <v>30</v>
      </c>
    </row>
    <row r="5" spans="1:6">
      <c r="A5" s="12" t="s">
        <v>12</v>
      </c>
      <c r="B5" s="7">
        <v>45710</v>
      </c>
      <c r="C5" s="8" t="s">
        <v>5</v>
      </c>
      <c r="D5" s="9">
        <v>3</v>
      </c>
      <c r="E5" s="10">
        <v>15</v>
      </c>
      <c r="F5" s="11">
        <f>Registros!$D5*Registros!$E5</f>
        <v>45</v>
      </c>
    </row>
    <row r="6" spans="1:6">
      <c r="A6" s="12" t="s">
        <v>13</v>
      </c>
      <c r="B6" s="7">
        <v>45711</v>
      </c>
      <c r="C6" s="8" t="s">
        <v>5</v>
      </c>
      <c r="D6" s="9">
        <v>2</v>
      </c>
      <c r="E6" s="10">
        <v>11</v>
      </c>
      <c r="F6" s="11">
        <f>Registros!$D6*Registros!$E6</f>
        <v>22</v>
      </c>
    </row>
    <row r="7" spans="1:6">
      <c r="A7" s="12" t="s">
        <v>14</v>
      </c>
      <c r="B7" s="7">
        <v>45712</v>
      </c>
      <c r="C7" s="8" t="s">
        <v>5</v>
      </c>
      <c r="D7" s="9">
        <v>3</v>
      </c>
      <c r="E7" s="10">
        <v>15</v>
      </c>
      <c r="F7" s="11">
        <f>Registros!$D7*Registros!$E7</f>
        <v>45</v>
      </c>
    </row>
    <row r="8" spans="1:6">
      <c r="A8" s="12" t="s">
        <v>15</v>
      </c>
      <c r="B8" s="7">
        <v>45713</v>
      </c>
      <c r="C8" s="8" t="s">
        <v>5</v>
      </c>
      <c r="D8" s="9">
        <v>1</v>
      </c>
      <c r="E8" s="10">
        <v>13</v>
      </c>
      <c r="F8" s="11">
        <f>Registros!$D8*Registros!$E8</f>
        <v>13</v>
      </c>
    </row>
    <row r="9" spans="1:6">
      <c r="A9" s="12" t="s">
        <v>16</v>
      </c>
      <c r="B9" s="7">
        <v>45714</v>
      </c>
      <c r="C9" s="8" t="s">
        <v>5</v>
      </c>
      <c r="D9" s="9">
        <v>3</v>
      </c>
      <c r="E9" s="10">
        <v>14</v>
      </c>
      <c r="F9" s="11">
        <f>Registros!$D9*Registros!$E9</f>
        <v>42</v>
      </c>
    </row>
    <row r="10" spans="1:6">
      <c r="A10" s="12" t="s">
        <v>17</v>
      </c>
      <c r="B10" s="7">
        <v>45715</v>
      </c>
      <c r="C10" s="8" t="s">
        <v>5</v>
      </c>
      <c r="D10" s="9">
        <v>3</v>
      </c>
      <c r="E10" s="10">
        <v>13</v>
      </c>
      <c r="F10" s="11">
        <f>Registros!$D10*Registros!$E10</f>
        <v>39</v>
      </c>
    </row>
    <row r="11" spans="1:6">
      <c r="A11" s="12" t="s">
        <v>18</v>
      </c>
      <c r="B11" s="7">
        <v>45716</v>
      </c>
      <c r="C11" s="8" t="s">
        <v>4</v>
      </c>
      <c r="D11" s="9">
        <v>2</v>
      </c>
      <c r="E11" s="10">
        <v>13</v>
      </c>
      <c r="F11" s="11">
        <f>Registros!$D11*Registros!$E11</f>
        <v>26</v>
      </c>
    </row>
    <row r="12" spans="1:6">
      <c r="A12" s="12" t="s">
        <v>19</v>
      </c>
      <c r="B12" s="7">
        <v>45717</v>
      </c>
      <c r="C12" s="8" t="s">
        <v>5</v>
      </c>
      <c r="D12" s="9">
        <v>3</v>
      </c>
      <c r="E12" s="10">
        <v>12</v>
      </c>
      <c r="F12" s="11">
        <f>Registros!$D12*Registros!$E12</f>
        <v>36</v>
      </c>
    </row>
    <row r="13" spans="1:6">
      <c r="A13" s="12" t="s">
        <v>20</v>
      </c>
      <c r="B13" s="7">
        <v>45718</v>
      </c>
      <c r="C13" s="8" t="s">
        <v>4</v>
      </c>
      <c r="D13" s="9">
        <v>3</v>
      </c>
      <c r="E13" s="10">
        <v>12</v>
      </c>
      <c r="F13" s="11">
        <f>Registros!$D13*Registros!$E13</f>
        <v>36</v>
      </c>
    </row>
    <row r="14" spans="1:6">
      <c r="A14" s="12" t="s">
        <v>21</v>
      </c>
      <c r="B14" s="7">
        <v>45719</v>
      </c>
      <c r="C14" s="8" t="s">
        <v>5</v>
      </c>
      <c r="D14" s="9">
        <v>2</v>
      </c>
      <c r="E14" s="10">
        <v>13</v>
      </c>
      <c r="F14" s="11">
        <f>Registros!$D14*Registros!$E14</f>
        <v>26</v>
      </c>
    </row>
    <row r="15" spans="1:6">
      <c r="A15" s="12" t="s">
        <v>22</v>
      </c>
      <c r="B15" s="7">
        <v>45720</v>
      </c>
      <c r="C15" s="8" t="s">
        <v>4</v>
      </c>
      <c r="D15" s="9">
        <v>3</v>
      </c>
      <c r="E15" s="10">
        <v>13</v>
      </c>
      <c r="F15" s="11">
        <f>Registros!$D15*Registros!$E15</f>
        <v>39</v>
      </c>
    </row>
    <row r="16" spans="1:6">
      <c r="A16" s="12" t="s">
        <v>23</v>
      </c>
      <c r="B16" s="7">
        <v>45708</v>
      </c>
      <c r="C16" s="8" t="s">
        <v>5</v>
      </c>
      <c r="D16" s="9">
        <v>3</v>
      </c>
      <c r="E16" s="10">
        <v>10.92</v>
      </c>
      <c r="F16" s="11">
        <f>Registros!$D16*Registros!$E16</f>
        <v>32.76</v>
      </c>
    </row>
  </sheetData>
  <phoneticPr fontId="5" type="noConversion"/>
  <dataValidations count="1">
    <dataValidation type="list" allowBlank="1" showInputMessage="1" showErrorMessage="1" sqref="C2:C16" xr:uid="{76D9A349-2EAB-480C-AD57-A50E46776711}">
      <formula1>"AAPL34,NVDC34,ATVI34"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CF4AB142-214E-427E-BA6A-8AC94A78DC0A}"/>
</file>

<file path=customXml/itemProps2.xml><?xml version="1.0" encoding="utf-8"?>
<ds:datastoreItem xmlns:ds="http://schemas.openxmlformats.org/officeDocument/2006/customXml" ds:itemID="{B28F307B-4BD2-441C-8716-E60E32394DE7}"/>
</file>

<file path=customXml/itemProps3.xml><?xml version="1.0" encoding="utf-8"?>
<ds:datastoreItem xmlns:ds="http://schemas.openxmlformats.org/officeDocument/2006/customXml" ds:itemID="{AA8605C4-4193-43E0-8298-387491134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Nubia Rossi Pavelqueires</cp:lastModifiedBy>
  <cp:revision/>
  <dcterms:created xsi:type="dcterms:W3CDTF">2025-02-19T16:24:45Z</dcterms:created>
  <dcterms:modified xsi:type="dcterms:W3CDTF">2025-04-17T12:56:07Z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