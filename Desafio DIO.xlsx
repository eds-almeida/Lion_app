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son\Desktop\BootCamp_DIO\Excel com IA\"/>
    </mc:Choice>
  </mc:AlternateContent>
  <xr:revisionPtr revIDLastSave="0" documentId="8_{95DB2067-4682-4319-8FAE-E299AA132A5A}" xr6:coauthVersionLast="47" xr6:coauthVersionMax="47" xr10:uidLastSave="{00000000-0000-0000-0000-000000000000}"/>
  <bookViews>
    <workbookView xWindow="-120" yWindow="-120" windowWidth="20640" windowHeight="11760" xr2:uid="{423C7F06-3B65-4DE0-A953-CFD3C283EC89}"/>
  </bookViews>
  <sheets>
    <sheet name="APP" sheetId="1" r:id="rId1"/>
    <sheet name="tabela" sheetId="2" r:id="rId2"/>
  </sheets>
  <definedNames>
    <definedName name="aporte_mes">APP!$C$10</definedName>
    <definedName name="patrimonio">APP!$C$13</definedName>
    <definedName name="qte_anos">APP!$C$11</definedName>
    <definedName name="Rendimento_carteira">APP!$F$11</definedName>
    <definedName name="salario">APP!$F$10</definedName>
    <definedName name="tx_mes">APP!$C$12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4" i="2"/>
  <c r="A5" i="2"/>
  <c r="A6" i="2"/>
  <c r="A7" i="2"/>
  <c r="A8" i="2"/>
  <c r="A3" i="2"/>
  <c r="C27" i="1"/>
  <c r="D36" i="1" s="1"/>
  <c r="C12" i="1"/>
  <c r="C19" i="1" s="1"/>
  <c r="D19" i="1" s="1"/>
  <c r="F13" i="1"/>
  <c r="D40" i="1" l="1"/>
  <c r="D39" i="1"/>
  <c r="D38" i="1"/>
  <c r="D37" i="1"/>
  <c r="C41" i="1"/>
  <c r="D35" i="1"/>
  <c r="C22" i="1"/>
  <c r="D22" i="1" s="1"/>
  <c r="C21" i="1"/>
  <c r="D21" i="1" s="1"/>
  <c r="C20" i="1"/>
  <c r="D20" i="1" s="1"/>
  <c r="C13" i="1"/>
  <c r="C14" i="1" s="1"/>
  <c r="C18" i="1"/>
  <c r="D18" i="1" s="1"/>
  <c r="D41" i="1" l="1"/>
</calcChain>
</file>

<file path=xl/sharedStrings.xml><?xml version="1.0" encoding="utf-8"?>
<sst xmlns="http://schemas.openxmlformats.org/spreadsheetml/2006/main" count="70" uniqueCount="34">
  <si>
    <t>Investimento Mensal</t>
  </si>
  <si>
    <t>Por quantos anos?</t>
  </si>
  <si>
    <t>Taxa de Rendimento Mensal?</t>
  </si>
  <si>
    <t>Patrimônio Acumulado?</t>
  </si>
  <si>
    <t>Dividendos Mensais?</t>
  </si>
  <si>
    <t>Cenários</t>
  </si>
  <si>
    <t>Dividendos</t>
  </si>
  <si>
    <t>Configurações</t>
  </si>
  <si>
    <t>Salário</t>
  </si>
  <si>
    <t>Rendimento da carteira</t>
  </si>
  <si>
    <t>Sugestão de Investimento</t>
  </si>
  <si>
    <t>Quanto investir por mês?</t>
  </si>
  <si>
    <t>Quanto renderia em  2 anos?</t>
  </si>
  <si>
    <t>Quanto renderia em  5 anos?</t>
  </si>
  <si>
    <t>Quanto renderia em  10 anos?</t>
  </si>
  <si>
    <t>Quanto renderia em  20 anos?</t>
  </si>
  <si>
    <t>Quanto renderia em  30 anos?</t>
  </si>
  <si>
    <t>Perfil de Investimento</t>
  </si>
  <si>
    <t>Conservador</t>
  </si>
  <si>
    <t>Valor a ser investido por mês</t>
  </si>
  <si>
    <t>Tipos de FIIs</t>
  </si>
  <si>
    <t>Percentual</t>
  </si>
  <si>
    <t>Valor</t>
  </si>
  <si>
    <t>PAPEL</t>
  </si>
  <si>
    <t>CONCRETO</t>
  </si>
  <si>
    <t>HÍBRIDO</t>
  </si>
  <si>
    <t>FOFs</t>
  </si>
  <si>
    <t>DESENVOLVIMENTO</t>
  </si>
  <si>
    <t>HOTELARIA</t>
  </si>
  <si>
    <t>Total</t>
  </si>
  <si>
    <t>Perfil</t>
  </si>
  <si>
    <t>Moderado</t>
  </si>
  <si>
    <t>Agressivo</t>
  </si>
  <si>
    <t>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</si>
</sst>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$&quot;\ * #,##0_-;\-&quot;R$&quot;\ * #,##0_-;_-&quot;R$&quot;\ * &quot;-&quot;_-;_-@_-"/>
    <numFmt numFmtId="44" formatCode="_-&quot;R$&quot;\ * #,##0.00_-;\-&quot;R$&quot;\ * #,##0.00_-;_-&quot;R$&quot;\ * &quot;-&quot;??_-;_-@_-"/>
    <numFmt numFmtId="164" formatCode="&quot;R$&quot;\ #,##0.00"/>
    <numFmt numFmtId="165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8"/>
      <color theme="3" tint="-0.49998474074526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theme="3" tint="-0.499984740745262"/>
      </left>
      <right style="medium">
        <color theme="0" tint="-0.14996795556505021"/>
      </right>
      <top style="medium">
        <color theme="3" tint="-0.49998474074526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 style="medium">
        <color theme="3" tint="-0.499984740745262"/>
      </top>
      <bottom style="medium">
        <color theme="0" tint="-0.14996795556505021"/>
      </bottom>
      <diagonal/>
    </border>
    <border>
      <left style="medium">
        <color theme="3" tint="-0.499984740745262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3" tint="-0.499984740745262"/>
      </left>
      <right style="medium">
        <color theme="0" tint="-0.14996795556505021"/>
      </right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0" tint="-0.14996795556505021"/>
      </left>
      <right style="medium">
        <color theme="3" tint="-0.499984740745262"/>
      </right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0" tint="-0.14996795556505021"/>
      </left>
      <right/>
      <top style="medium">
        <color theme="3" tint="-0.499984740745262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 style="medium">
        <color theme="3" tint="-0.499984740745262"/>
      </top>
      <bottom/>
      <diagonal/>
    </border>
    <border>
      <left/>
      <right style="medium">
        <color theme="3" tint="-0.499984740745262"/>
      </right>
      <top/>
      <bottom/>
      <diagonal/>
    </border>
    <border>
      <left style="medium">
        <color theme="0" tint="-0.34998626667073579"/>
      </left>
      <right/>
      <top/>
      <bottom style="medium">
        <color theme="3" tint="-0.499984740745262"/>
      </bottom>
      <diagonal/>
    </border>
    <border>
      <left/>
      <right style="medium">
        <color theme="3" tint="-0.499984740745262"/>
      </right>
      <top/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/>
      <diagonal/>
    </border>
    <border>
      <left/>
      <right/>
      <top/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3" tint="-0.499984740745262"/>
      </right>
      <top/>
      <bottom style="medium">
        <color theme="0" tint="-0.14996795556505021"/>
      </bottom>
      <diagonal/>
    </border>
    <border>
      <left style="medium">
        <color theme="3" tint="-0.499984740745262"/>
      </left>
      <right style="thin">
        <color theme="0" tint="-0.14996795556505021"/>
      </right>
      <top style="medium">
        <color theme="3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3" tint="-0.499984740745262"/>
      </top>
      <bottom style="thin">
        <color theme="0" tint="-0.14996795556505021"/>
      </bottom>
      <diagonal/>
    </border>
    <border>
      <left style="medium">
        <color theme="3" tint="-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3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3" tint="-0.499984740745262"/>
      </left>
      <right style="thin">
        <color theme="0" tint="-0.14996795556505021"/>
      </right>
      <top style="thin">
        <color theme="0" tint="-0.14996795556505021"/>
      </top>
      <bottom style="medium">
        <color theme="3" tint="-0.499984740745262"/>
      </bottom>
      <diagonal/>
    </border>
    <border>
      <left style="thin">
        <color theme="0" tint="-0.14996795556505021"/>
      </left>
      <right style="medium">
        <color theme="3" tint="-0.499984740745262"/>
      </right>
      <top style="thin">
        <color theme="0" tint="-0.14996795556505021"/>
      </top>
      <bottom style="medium">
        <color theme="3" tint="-0.499984740745262"/>
      </bottom>
      <diagonal/>
    </border>
    <border>
      <left style="thin">
        <color theme="0" tint="-0.14996795556505021"/>
      </left>
      <right/>
      <top style="medium">
        <color theme="3" tint="-0.499984740745262"/>
      </top>
      <bottom style="thin">
        <color theme="0" tint="-0.14993743705557422"/>
      </bottom>
      <diagonal/>
    </border>
    <border>
      <left/>
      <right style="medium">
        <color theme="3" tint="-0.499984740745262"/>
      </right>
      <top style="medium">
        <color theme="3" tint="-0.49998474074526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3" tint="-0.49998474074526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thin">
        <color theme="0" tint="-0.14993743705557422"/>
      </top>
      <bottom style="medium">
        <color theme="3" tint="-0.499984740745262"/>
      </bottom>
      <diagonal/>
    </border>
    <border>
      <left style="medium">
        <color theme="3" tint="-0.499984740745262"/>
      </left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/>
      <top style="medium">
        <color theme="3" tint="-0.499984740745262"/>
      </top>
      <bottom style="medium">
        <color theme="3" tint="-0.499984740745262"/>
      </bottom>
      <diagonal/>
    </border>
    <border>
      <left/>
      <right style="medium">
        <color theme="3" tint="-0.499984740745262"/>
      </right>
      <top style="medium">
        <color theme="3" tint="-0.499984740745262"/>
      </top>
      <bottom style="medium">
        <color theme="3" tint="-0.499984740745262"/>
      </bottom>
      <diagonal/>
    </border>
    <border>
      <left style="thin">
        <color theme="0" tint="-0.14996795556505021"/>
      </left>
      <right style="medium">
        <color theme="3" tint="-0.499984740745262"/>
      </right>
      <top/>
      <bottom style="medium">
        <color theme="3" tint="-0.499984740745262"/>
      </bottom>
      <diagonal/>
    </border>
    <border>
      <left style="medium">
        <color theme="3" tint="-0.499984740745262"/>
      </left>
      <right style="medium">
        <color theme="3" tint="-0.499984740745262"/>
      </right>
      <top style="medium">
        <color theme="3" tint="-0.499984740745262"/>
      </top>
      <bottom/>
      <diagonal/>
    </border>
    <border>
      <left style="medium">
        <color theme="3" tint="-0.499984740745262"/>
      </left>
      <right style="medium">
        <color theme="3" tint="-0.499984740745262"/>
      </right>
      <top/>
      <bottom/>
      <diagonal/>
    </border>
    <border>
      <left style="medium">
        <color theme="3" tint="-0.499984740745262"/>
      </left>
      <right style="medium">
        <color theme="3" tint="-0.499984740745262"/>
      </right>
      <top/>
      <bottom style="medium">
        <color theme="3" tint="-0.49998474074526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3" xfId="0" applyFont="1" applyBorder="1"/>
    <xf numFmtId="0" fontId="7" fillId="0" borderId="3" xfId="0" applyFont="1" applyBorder="1"/>
    <xf numFmtId="0" fontId="7" fillId="0" borderId="5" xfId="0" applyFont="1" applyBorder="1"/>
    <xf numFmtId="0" fontId="6" fillId="3" borderId="3" xfId="0" applyFont="1" applyFill="1" applyBorder="1"/>
    <xf numFmtId="0" fontId="6" fillId="3" borderId="5" xfId="0" applyFont="1" applyFill="1" applyBorder="1"/>
    <xf numFmtId="0" fontId="11" fillId="0" borderId="0" xfId="0" applyFont="1"/>
    <xf numFmtId="0" fontId="6" fillId="0" borderId="17" xfId="0" applyFont="1" applyBorder="1"/>
    <xf numFmtId="164" fontId="5" fillId="0" borderId="17" xfId="1" applyNumberFormat="1" applyFont="1" applyBorder="1" applyAlignment="1">
      <alignment horizontal="center"/>
    </xf>
    <xf numFmtId="0" fontId="0" fillId="0" borderId="17" xfId="0" applyBorder="1"/>
    <xf numFmtId="42" fontId="10" fillId="0" borderId="20" xfId="1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10" fontId="5" fillId="0" borderId="4" xfId="0" applyNumberFormat="1" applyFont="1" applyBorder="1" applyAlignment="1">
      <alignment horizontal="right" vertical="center"/>
    </xf>
    <xf numFmtId="44" fontId="5" fillId="0" borderId="4" xfId="1" applyFont="1" applyBorder="1" applyAlignment="1">
      <alignment horizontal="center" vertical="center"/>
    </xf>
    <xf numFmtId="44" fontId="5" fillId="3" borderId="8" xfId="1" applyFont="1" applyFill="1" applyBorder="1" applyAlignment="1">
      <alignment horizontal="right"/>
    </xf>
    <xf numFmtId="44" fontId="5" fillId="3" borderId="9" xfId="1" applyFont="1" applyFill="1" applyBorder="1" applyAlignment="1">
      <alignment horizontal="right"/>
    </xf>
    <xf numFmtId="44" fontId="5" fillId="0" borderId="4" xfId="1" applyFont="1" applyBorder="1" applyAlignment="1">
      <alignment horizontal="right" vertical="center"/>
    </xf>
    <xf numFmtId="44" fontId="5" fillId="0" borderId="6" xfId="1" applyFont="1" applyBorder="1" applyAlignment="1">
      <alignment horizontal="right" vertical="center"/>
    </xf>
    <xf numFmtId="0" fontId="6" fillId="0" borderId="19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5" borderId="0" xfId="0" applyFont="1" applyFill="1"/>
    <xf numFmtId="44" fontId="15" fillId="5" borderId="0" xfId="1" applyFont="1" applyFill="1"/>
    <xf numFmtId="0" fontId="15" fillId="5" borderId="21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4" fillId="7" borderId="34" xfId="0" applyFont="1" applyFill="1" applyBorder="1" applyAlignment="1">
      <alignment horizontal="center" vertical="center"/>
    </xf>
    <xf numFmtId="9" fontId="14" fillId="7" borderId="35" xfId="0" applyNumberFormat="1" applyFont="1" applyFill="1" applyBorder="1" applyAlignment="1">
      <alignment horizontal="center" vertical="center"/>
    </xf>
    <xf numFmtId="0" fontId="15" fillId="4" borderId="0" xfId="0" applyFont="1" applyFill="1"/>
    <xf numFmtId="0" fontId="15" fillId="4" borderId="0" xfId="0" applyFont="1" applyFill="1" applyAlignment="1">
      <alignment horizontal="center" vertical="center"/>
    </xf>
    <xf numFmtId="9" fontId="15" fillId="6" borderId="24" xfId="3" applyFont="1" applyFill="1" applyBorder="1" applyAlignment="1">
      <alignment horizontal="center" vertical="center"/>
    </xf>
    <xf numFmtId="9" fontId="15" fillId="6" borderId="25" xfId="3" applyFont="1" applyFill="1" applyBorder="1" applyAlignment="1">
      <alignment horizontal="center" vertical="center"/>
    </xf>
    <xf numFmtId="9" fontId="15" fillId="6" borderId="27" xfId="3" applyFont="1" applyFill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9" fontId="15" fillId="0" borderId="11" xfId="3" applyFont="1" applyBorder="1" applyAlignment="1">
      <alignment horizontal="center" vertical="center"/>
    </xf>
    <xf numFmtId="9" fontId="15" fillId="0" borderId="14" xfId="3" applyFont="1" applyBorder="1" applyAlignment="1">
      <alignment horizontal="center" vertical="center"/>
    </xf>
    <xf numFmtId="165" fontId="15" fillId="0" borderId="14" xfId="3" applyNumberFormat="1" applyFont="1" applyBorder="1" applyAlignment="1">
      <alignment horizontal="center" vertical="center"/>
    </xf>
    <xf numFmtId="9" fontId="15" fillId="0" borderId="37" xfId="3" applyFont="1" applyBorder="1" applyAlignment="1">
      <alignment horizontal="center" vertical="center"/>
    </xf>
    <xf numFmtId="9" fontId="0" fillId="0" borderId="0" xfId="0" applyNumberFormat="1"/>
    <xf numFmtId="165" fontId="15" fillId="0" borderId="16" xfId="3" applyNumberFormat="1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165" fontId="0" fillId="6" borderId="24" xfId="3" applyNumberFormat="1" applyFont="1" applyFill="1" applyBorder="1" applyAlignment="1">
      <alignment horizontal="center" vertical="center"/>
    </xf>
    <xf numFmtId="0" fontId="15" fillId="4" borderId="0" xfId="0" applyFont="1" applyFill="1" applyAlignment="1">
      <alignment horizontal="right" vertical="center"/>
    </xf>
    <xf numFmtId="44" fontId="14" fillId="7" borderId="35" xfId="1" applyFont="1" applyFill="1" applyBorder="1" applyAlignment="1">
      <alignment horizontal="center" vertical="center"/>
    </xf>
    <xf numFmtId="44" fontId="14" fillId="7" borderId="36" xfId="1" applyFont="1" applyFill="1" applyBorder="1" applyAlignment="1">
      <alignment horizontal="center" vertical="center"/>
    </xf>
    <xf numFmtId="0" fontId="15" fillId="5" borderId="28" xfId="0" applyFont="1" applyFill="1" applyBorder="1" applyAlignment="1">
      <alignment horizontal="center"/>
    </xf>
    <xf numFmtId="0" fontId="15" fillId="5" borderId="29" xfId="0" applyFont="1" applyFill="1" applyBorder="1" applyAlignment="1">
      <alignment horizontal="center"/>
    </xf>
    <xf numFmtId="44" fontId="15" fillId="6" borderId="30" xfId="0" applyNumberFormat="1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44" fontId="15" fillId="6" borderId="32" xfId="0" applyNumberFormat="1" applyFont="1" applyFill="1" applyBorder="1" applyAlignment="1">
      <alignment horizontal="center"/>
    </xf>
    <xf numFmtId="0" fontId="15" fillId="6" borderId="33" xfId="0" applyFont="1" applyFill="1" applyBorder="1" applyAlignment="1">
      <alignment horizontal="center"/>
    </xf>
    <xf numFmtId="44" fontId="5" fillId="3" borderId="15" xfId="1" applyFont="1" applyFill="1" applyBorder="1" applyAlignment="1">
      <alignment horizontal="center" vertical="center"/>
    </xf>
    <xf numFmtId="44" fontId="0" fillId="0" borderId="18" xfId="1" applyFont="1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2" xfId="0" applyBorder="1"/>
    <xf numFmtId="0" fontId="6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10" fontId="10" fillId="0" borderId="4" xfId="3" applyNumberFormat="1" applyFont="1" applyBorder="1" applyAlignment="1">
      <alignment horizontal="right" vertical="center"/>
    </xf>
    <xf numFmtId="10" fontId="0" fillId="0" borderId="4" xfId="3" applyNumberFormat="1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44" fontId="0" fillId="0" borderId="4" xfId="1" applyFon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3" fillId="0" borderId="17" xfId="0" applyFont="1" applyBorder="1"/>
    <xf numFmtId="0" fontId="13" fillId="0" borderId="11" xfId="0" applyFont="1" applyBorder="1"/>
    <xf numFmtId="44" fontId="5" fillId="3" borderId="12" xfId="1" applyFont="1" applyFill="1" applyBorder="1" applyAlignment="1">
      <alignment horizontal="center" vertical="center"/>
    </xf>
    <xf numFmtId="44" fontId="0" fillId="0" borderId="0" xfId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">
    <cellStyle name="Moeda" xfId="1" builtinId="4"/>
    <cellStyle name="Moeda 2" xfId="2" xr:uid="{3FFDBB75-BA5C-4B4D-9774-8DCB5F485689}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104776</xdr:rowOff>
    </xdr:from>
    <xdr:ext cx="5029200" cy="937629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7FBBD96-1D51-4AF0-8FCD-A1B5EC7CE5D6}"/>
            </a:ext>
          </a:extLst>
        </xdr:cNvPr>
        <xdr:cNvSpPr/>
      </xdr:nvSpPr>
      <xdr:spPr>
        <a:xfrm>
          <a:off x="276225" y="104776"/>
          <a:ext cx="5029200" cy="937629"/>
        </a:xfrm>
        <a:prstGeom prst="rect">
          <a:avLst/>
        </a:prstGeom>
        <a:solidFill>
          <a:schemeClr val="accent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>
          <a:outerShdw blurRad="50800" dist="38100" dir="5400000" algn="t" rotWithShape="0">
            <a:schemeClr val="accent5">
              <a:lumMod val="60000"/>
              <a:lumOff val="40000"/>
              <a:alpha val="40000"/>
            </a:schemeClr>
          </a:outerShdw>
          <a:softEdge rad="25400"/>
        </a:effectLst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5400" b="1" cap="none" spc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chemeClr val="accent4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INVESTE</a:t>
          </a:r>
          <a:r>
            <a:rPr lang="pt-BR" sz="5400" b="1" cap="none" spc="0" baseline="0">
              <a:ln w="12700">
                <a:solidFill>
                  <a:schemeClr val="tx2">
                    <a:lumMod val="75000"/>
                  </a:schemeClr>
                </a:solidFill>
                <a:prstDash val="solid"/>
              </a:ln>
              <a:solidFill>
                <a:schemeClr val="accent4"/>
              </a:solidFill>
              <a:effectLst>
                <a:outerShdw dist="38100" dir="2640000" algn="bl" rotWithShape="0">
                  <a:schemeClr val="tx2">
                    <a:lumMod val="75000"/>
                  </a:schemeClr>
                </a:outerShdw>
              </a:effectLst>
            </a:rPr>
            <a:t> FÁCIL</a:t>
          </a:r>
          <a:endParaRPr lang="pt-BR" sz="5400" b="1" cap="none" spc="0">
            <a:ln w="12700">
              <a:solidFill>
                <a:schemeClr val="tx2">
                  <a:lumMod val="75000"/>
                </a:schemeClr>
              </a:solidFill>
              <a:prstDash val="solid"/>
            </a:ln>
            <a:solidFill>
              <a:schemeClr val="accent4"/>
            </a:solidFill>
            <a:effectLst>
              <a:outerShdw dist="38100" dir="2640000" algn="bl" rotWithShape="0">
                <a:schemeClr val="tx2">
                  <a:lumMod val="75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05768-A918-4533-8ECE-F3A3D27CA123}">
  <dimension ref="A1:Q41"/>
  <sheetViews>
    <sheetView showGridLines="0" tabSelected="1" showRuler="0" zoomScaleNormal="100" workbookViewId="0">
      <selection activeCell="F8" sqref="F8"/>
    </sheetView>
  </sheetViews>
  <sheetFormatPr defaultColWidth="0" defaultRowHeight="15" zeroHeight="1" x14ac:dyDescent="0.25"/>
  <cols>
    <col min="1" max="1" width="4.140625" customWidth="1"/>
    <col min="2" max="2" width="27.5703125" customWidth="1"/>
    <col min="3" max="3" width="18.28515625" customWidth="1"/>
    <col min="4" max="4" width="3.5703125" customWidth="1"/>
    <col min="5" max="5" width="12.7109375" customWidth="1"/>
    <col min="6" max="6" width="13.28515625" bestFit="1" customWidth="1"/>
    <col min="7" max="7" width="5.85546875" customWidth="1"/>
    <col min="8" max="10" width="9.140625" hidden="1" customWidth="1"/>
    <col min="11" max="11" width="28.5703125" hidden="1" customWidth="1"/>
    <col min="12" max="16" width="9.140625" hidden="1" customWidth="1"/>
    <col min="17" max="17" width="30.85546875" hidden="1" customWidth="1"/>
    <col min="18" max="16384" width="9.140625" hidden="1"/>
  </cols>
  <sheetData>
    <row r="1" spans="2:6" x14ac:dyDescent="0.25"/>
    <row r="2" spans="2:6" x14ac:dyDescent="0.25"/>
    <row r="3" spans="2:6" x14ac:dyDescent="0.25"/>
    <row r="4" spans="2:6" x14ac:dyDescent="0.25"/>
    <row r="5" spans="2:6" x14ac:dyDescent="0.25"/>
    <row r="6" spans="2:6" x14ac:dyDescent="0.25"/>
    <row r="7" spans="2:6" x14ac:dyDescent="0.25"/>
    <row r="8" spans="2:6" ht="15.75" thickBot="1" x14ac:dyDescent="0.3"/>
    <row r="9" spans="2:6" ht="34.5" thickBot="1" x14ac:dyDescent="0.55000000000000004">
      <c r="B9" s="62" t="s">
        <v>0</v>
      </c>
      <c r="C9" s="63"/>
      <c r="E9" s="60" t="s">
        <v>7</v>
      </c>
      <c r="F9" s="61"/>
    </row>
    <row r="10" spans="2:6" ht="16.5" thickBot="1" x14ac:dyDescent="0.3">
      <c r="B10" s="3" t="s">
        <v>11</v>
      </c>
      <c r="C10" s="15">
        <v>500</v>
      </c>
      <c r="D10" s="2"/>
      <c r="E10" s="20" t="s">
        <v>8</v>
      </c>
      <c r="F10" s="12">
        <v>5000</v>
      </c>
    </row>
    <row r="11" spans="2:6" ht="16.5" thickBot="1" x14ac:dyDescent="0.3">
      <c r="B11" s="3" t="s">
        <v>1</v>
      </c>
      <c r="C11" s="13">
        <v>5</v>
      </c>
      <c r="D11" s="2"/>
      <c r="E11" s="64" t="s">
        <v>9</v>
      </c>
      <c r="F11" s="66">
        <v>1.0789999999999999E-2</v>
      </c>
    </row>
    <row r="12" spans="2:6" ht="16.5" thickBot="1" x14ac:dyDescent="0.3">
      <c r="B12" s="3" t="s">
        <v>2</v>
      </c>
      <c r="C12" s="14">
        <f>Rendimento_carteira</f>
        <v>1.0789999999999999E-2</v>
      </c>
      <c r="D12" s="2"/>
      <c r="E12" s="65"/>
      <c r="F12" s="67"/>
    </row>
    <row r="13" spans="2:6" ht="16.5" thickBot="1" x14ac:dyDescent="0.3">
      <c r="B13" s="4" t="s">
        <v>3</v>
      </c>
      <c r="C13" s="18">
        <f>FV(tx_mes,qte_anos*12,-aporte_mes)</f>
        <v>41888.456999243819</v>
      </c>
      <c r="D13" s="2"/>
      <c r="E13" s="68" t="s">
        <v>10</v>
      </c>
      <c r="F13" s="70">
        <f>F10*30%</f>
        <v>1500</v>
      </c>
    </row>
    <row r="14" spans="2:6" ht="16.5" thickBot="1" x14ac:dyDescent="0.3">
      <c r="B14" s="5" t="s">
        <v>4</v>
      </c>
      <c r="C14" s="19">
        <f>C13*tx_mes</f>
        <v>451.97645102184077</v>
      </c>
      <c r="D14" s="2"/>
      <c r="E14" s="69"/>
      <c r="F14" s="71"/>
    </row>
    <row r="15" spans="2:6" ht="15.75" x14ac:dyDescent="0.25">
      <c r="B15" s="2"/>
      <c r="C15" s="2"/>
      <c r="D15" s="2"/>
      <c r="E15" s="2"/>
      <c r="F15" s="8"/>
    </row>
    <row r="16" spans="2:6" ht="16.5" thickBot="1" x14ac:dyDescent="0.3">
      <c r="B16" s="2"/>
      <c r="C16" s="2"/>
      <c r="D16" s="2"/>
      <c r="E16" s="2"/>
    </row>
    <row r="17" spans="1:6" ht="34.5" thickBot="1" x14ac:dyDescent="0.4">
      <c r="B17" s="58" t="s">
        <v>5</v>
      </c>
      <c r="C17" s="59"/>
      <c r="D17" s="72" t="s">
        <v>6</v>
      </c>
      <c r="E17" s="73"/>
      <c r="F17" s="74"/>
    </row>
    <row r="18" spans="1:6" ht="16.5" thickBot="1" x14ac:dyDescent="0.3">
      <c r="A18" s="1">
        <v>2</v>
      </c>
      <c r="B18" s="6" t="s">
        <v>12</v>
      </c>
      <c r="C18" s="16">
        <f>FV($C$12,$A18*12,-$C$10)</f>
        <v>13613.813648822608</v>
      </c>
      <c r="D18" s="75">
        <f>C18*Rendimento_carteira</f>
        <v>146.89304927079593</v>
      </c>
      <c r="E18" s="76"/>
      <c r="F18" s="77"/>
    </row>
    <row r="19" spans="1:6" ht="16.5" thickBot="1" x14ac:dyDescent="0.3">
      <c r="A19" s="1">
        <v>5</v>
      </c>
      <c r="B19" s="6" t="s">
        <v>13</v>
      </c>
      <c r="C19" s="16">
        <f>FV($C$12,$A19*12,-$C$10)</f>
        <v>41888.456999243819</v>
      </c>
      <c r="D19" s="75">
        <f>C19*Rendimento_carteira</f>
        <v>451.97645102184077</v>
      </c>
      <c r="E19" s="76"/>
      <c r="F19" s="77"/>
    </row>
    <row r="20" spans="1:6" ht="16.5" thickBot="1" x14ac:dyDescent="0.3">
      <c r="A20" s="1">
        <v>10</v>
      </c>
      <c r="B20" s="6" t="s">
        <v>14</v>
      </c>
      <c r="C20" s="16">
        <f>FV($C$12,$A20*12,-$C$10)</f>
        <v>121642.1062650861</v>
      </c>
      <c r="D20" s="75">
        <f>C20*Rendimento_carteira</f>
        <v>1312.5183266002789</v>
      </c>
      <c r="E20" s="76"/>
      <c r="F20" s="77"/>
    </row>
    <row r="21" spans="1:6" ht="16.5" thickBot="1" x14ac:dyDescent="0.3">
      <c r="A21" s="1">
        <v>20</v>
      </c>
      <c r="B21" s="6" t="s">
        <v>15</v>
      </c>
      <c r="C21" s="16">
        <f>FV($C$12,$A21*12,-$C$10)</f>
        <v>562599.20004854025</v>
      </c>
      <c r="D21" s="75">
        <f>C21*Rendimento_carteira</f>
        <v>6070.4453685237486</v>
      </c>
      <c r="E21" s="76"/>
      <c r="F21" s="77"/>
    </row>
    <row r="22" spans="1:6" ht="16.5" thickBot="1" x14ac:dyDescent="0.3">
      <c r="A22" s="1">
        <v>30</v>
      </c>
      <c r="B22" s="7" t="s">
        <v>16</v>
      </c>
      <c r="C22" s="17">
        <f>FV($C$12,$A22*12,-$C$10)</f>
        <v>2161084.8275023573</v>
      </c>
      <c r="D22" s="55">
        <f>C22*Rendimento_carteira</f>
        <v>23318.105288750434</v>
      </c>
      <c r="E22" s="56"/>
      <c r="F22" s="57"/>
    </row>
    <row r="23" spans="1:6" ht="15.75" x14ac:dyDescent="0.25">
      <c r="B23" s="9"/>
      <c r="C23" s="10"/>
      <c r="D23" s="11"/>
      <c r="E23" s="11"/>
      <c r="F23" s="11"/>
    </row>
    <row r="24" spans="1:6" x14ac:dyDescent="0.25"/>
    <row r="25" spans="1:6" x14ac:dyDescent="0.25"/>
    <row r="26" spans="1:6" x14ac:dyDescent="0.25">
      <c r="B26" s="31" t="s">
        <v>17</v>
      </c>
      <c r="C26" s="46" t="s">
        <v>32</v>
      </c>
      <c r="D26" s="32"/>
      <c r="E26" s="32"/>
    </row>
    <row r="27" spans="1:6" x14ac:dyDescent="0.25">
      <c r="B27" s="23" t="s">
        <v>19</v>
      </c>
      <c r="C27" s="24">
        <f>aporte_mes</f>
        <v>500</v>
      </c>
      <c r="D27" s="24"/>
      <c r="E27" s="24"/>
    </row>
    <row r="33" spans="2:5" ht="15.75" thickBot="1" x14ac:dyDescent="0.3"/>
    <row r="34" spans="2:5" x14ac:dyDescent="0.25">
      <c r="B34" s="25" t="s">
        <v>20</v>
      </c>
      <c r="C34" s="26" t="s">
        <v>21</v>
      </c>
      <c r="D34" s="49" t="s">
        <v>22</v>
      </c>
      <c r="E34" s="50"/>
    </row>
    <row r="35" spans="2:5" x14ac:dyDescent="0.25">
      <c r="B35" s="27" t="s">
        <v>23</v>
      </c>
      <c r="C35" s="45">
        <f>VLOOKUP($C$26&amp;"-"&amp;B35,tabela!A3:D22,4,)</f>
        <v>0.4</v>
      </c>
      <c r="D35" s="51">
        <f>C35*$C$27</f>
        <v>200</v>
      </c>
      <c r="E35" s="52"/>
    </row>
    <row r="36" spans="2:5" x14ac:dyDescent="0.25">
      <c r="B36" s="27" t="s">
        <v>24</v>
      </c>
      <c r="C36" s="45">
        <f>VLOOKUP($C$26&amp;"-"&amp;B36,tabela!A4:D23,4,)</f>
        <v>0.2</v>
      </c>
      <c r="D36" s="51">
        <f t="shared" ref="D36:D40" si="0">C36*$C$27</f>
        <v>100</v>
      </c>
      <c r="E36" s="52"/>
    </row>
    <row r="37" spans="2:5" x14ac:dyDescent="0.25">
      <c r="B37" s="27" t="s">
        <v>25</v>
      </c>
      <c r="C37" s="45">
        <f>VLOOKUP($C$26&amp;"-"&amp;B37,tabela!A5:D24,4,)</f>
        <v>0.1</v>
      </c>
      <c r="D37" s="51">
        <f t="shared" si="0"/>
        <v>50</v>
      </c>
      <c r="E37" s="52"/>
    </row>
    <row r="38" spans="2:5" x14ac:dyDescent="0.25">
      <c r="B38" s="27" t="s">
        <v>26</v>
      </c>
      <c r="C38" s="45">
        <f>VLOOKUP($C$26&amp;"-"&amp;B38,tabela!A6:D25,4,)</f>
        <v>0.15</v>
      </c>
      <c r="D38" s="51">
        <f t="shared" si="0"/>
        <v>75</v>
      </c>
      <c r="E38" s="52"/>
    </row>
    <row r="39" spans="2:5" x14ac:dyDescent="0.25">
      <c r="B39" s="27" t="s">
        <v>27</v>
      </c>
      <c r="C39" s="45">
        <f>VLOOKUP($C$26&amp;"-"&amp;B39,tabela!A7:D26,4,)</f>
        <v>7.4999999999999997E-2</v>
      </c>
      <c r="D39" s="51">
        <f t="shared" si="0"/>
        <v>37.5</v>
      </c>
      <c r="E39" s="52"/>
    </row>
    <row r="40" spans="2:5" ht="15.75" thickBot="1" x14ac:dyDescent="0.3">
      <c r="B40" s="28" t="s">
        <v>28</v>
      </c>
      <c r="C40" s="45">
        <f>VLOOKUP($C$26&amp;"-"&amp;B40,tabela!A8:D27,4,)</f>
        <v>7.4999999999999997E-2</v>
      </c>
      <c r="D40" s="53">
        <f t="shared" si="0"/>
        <v>37.5</v>
      </c>
      <c r="E40" s="54"/>
    </row>
    <row r="41" spans="2:5" s="21" customFormat="1" ht="15.75" thickBot="1" x14ac:dyDescent="0.3">
      <c r="B41" s="29" t="s">
        <v>29</v>
      </c>
      <c r="C41" s="30">
        <f>SUM(C35:C40)</f>
        <v>1</v>
      </c>
      <c r="D41" s="47">
        <f>SUM(D35:D40)</f>
        <v>500</v>
      </c>
      <c r="E41" s="48"/>
    </row>
  </sheetData>
  <mergeCells count="21">
    <mergeCell ref="D22:F22"/>
    <mergeCell ref="B17:C17"/>
    <mergeCell ref="E9:F9"/>
    <mergeCell ref="B9:C9"/>
    <mergeCell ref="E11:E12"/>
    <mergeCell ref="F11:F12"/>
    <mergeCell ref="E13:E14"/>
    <mergeCell ref="F13:F14"/>
    <mergeCell ref="D17:F17"/>
    <mergeCell ref="D18:F18"/>
    <mergeCell ref="D19:F19"/>
    <mergeCell ref="D20:F20"/>
    <mergeCell ref="D21:F21"/>
    <mergeCell ref="D41:E41"/>
    <mergeCell ref="D34:E34"/>
    <mergeCell ref="D35:E35"/>
    <mergeCell ref="D36:E36"/>
    <mergeCell ref="D37:E37"/>
    <mergeCell ref="D38:E38"/>
    <mergeCell ref="D39:E39"/>
    <mergeCell ref="D40:E40"/>
  </mergeCells>
  <dataValidations count="1">
    <dataValidation type="list" allowBlank="1" showInputMessage="1" showErrorMessage="1" sqref="C26" xr:uid="{9BC45D44-2341-48F2-AC56-1D780BDD7F1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42FFB-F19E-4DCE-AB11-C13D298557CE}">
  <dimension ref="A1:O26"/>
  <sheetViews>
    <sheetView workbookViewId="0">
      <selection activeCell="A27" sqref="A27:XFD1048576"/>
    </sheetView>
  </sheetViews>
  <sheetFormatPr defaultColWidth="0" defaultRowHeight="15" zeroHeight="1" x14ac:dyDescent="0.25"/>
  <cols>
    <col min="1" max="1" width="31.28515625" bestFit="1" customWidth="1"/>
    <col min="2" max="2" width="12.140625" bestFit="1" customWidth="1"/>
    <col min="3" max="3" width="19" bestFit="1" customWidth="1"/>
    <col min="4" max="4" width="10.5703125" bestFit="1" customWidth="1"/>
    <col min="5" max="5" width="9.140625" customWidth="1"/>
    <col min="6" max="15" width="0" hidden="1" customWidth="1"/>
    <col min="16" max="16384" width="9.140625" hidden="1"/>
  </cols>
  <sheetData>
    <row r="1" spans="1:15" ht="15.75" thickBot="1" x14ac:dyDescent="0.3"/>
    <row r="2" spans="1:15" x14ac:dyDescent="0.25">
      <c r="A2" s="22" t="s">
        <v>33</v>
      </c>
      <c r="B2" s="36" t="s">
        <v>30</v>
      </c>
      <c r="C2" s="25" t="s">
        <v>20</v>
      </c>
      <c r="D2" s="38" t="s">
        <v>21</v>
      </c>
    </row>
    <row r="3" spans="1:15" x14ac:dyDescent="0.25">
      <c r="A3" s="33" t="str">
        <f>B3&amp;"-"&amp;C3</f>
        <v>Conservador-PAPEL</v>
      </c>
      <c r="B3" s="37" t="s">
        <v>18</v>
      </c>
      <c r="C3" s="27" t="s">
        <v>23</v>
      </c>
      <c r="D3" s="34">
        <v>0.25</v>
      </c>
    </row>
    <row r="4" spans="1:15" x14ac:dyDescent="0.25">
      <c r="A4" s="33" t="str">
        <f t="shared" ref="A4:A22" si="0">B4&amp;"-"&amp;C4</f>
        <v>Conservador-CONCRETO</v>
      </c>
      <c r="B4" s="37" t="s">
        <v>18</v>
      </c>
      <c r="C4" s="27" t="s">
        <v>24</v>
      </c>
      <c r="D4" s="34">
        <v>0.5</v>
      </c>
    </row>
    <row r="5" spans="1:15" x14ac:dyDescent="0.25">
      <c r="A5" s="33" t="str">
        <f t="shared" si="0"/>
        <v>Conservador-HÍBRIDO</v>
      </c>
      <c r="B5" s="37" t="s">
        <v>18</v>
      </c>
      <c r="C5" s="27" t="s">
        <v>25</v>
      </c>
      <c r="D5" s="34">
        <v>0.1</v>
      </c>
      <c r="J5" s="78"/>
      <c r="K5" s="78"/>
      <c r="L5" s="78"/>
      <c r="M5" s="78"/>
      <c r="N5" s="78"/>
      <c r="O5" s="78"/>
    </row>
    <row r="6" spans="1:15" x14ac:dyDescent="0.25">
      <c r="A6" s="33" t="str">
        <f t="shared" si="0"/>
        <v>Conservador-FOFs</v>
      </c>
      <c r="B6" s="37" t="s">
        <v>18</v>
      </c>
      <c r="C6" s="27" t="s">
        <v>26</v>
      </c>
      <c r="D6" s="34">
        <v>0.15</v>
      </c>
      <c r="J6" s="78"/>
      <c r="K6" s="78"/>
      <c r="L6" s="78"/>
      <c r="M6" s="78"/>
      <c r="N6" s="78"/>
      <c r="O6" s="78"/>
    </row>
    <row r="7" spans="1:15" x14ac:dyDescent="0.25">
      <c r="A7" s="33" t="str">
        <f t="shared" si="0"/>
        <v>Conservador-DESENVOLVIMENTO</v>
      </c>
      <c r="B7" s="37" t="s">
        <v>18</v>
      </c>
      <c r="C7" s="27" t="s">
        <v>27</v>
      </c>
      <c r="D7" s="34">
        <v>0</v>
      </c>
    </row>
    <row r="8" spans="1:15" ht="15.75" thickBot="1" x14ac:dyDescent="0.3">
      <c r="A8" s="33" t="str">
        <f t="shared" si="0"/>
        <v>Conservador-HOTELARIA</v>
      </c>
      <c r="B8" s="37" t="s">
        <v>18</v>
      </c>
      <c r="C8" s="28" t="s">
        <v>28</v>
      </c>
      <c r="D8" s="35">
        <v>0</v>
      </c>
    </row>
    <row r="9" spans="1:15" x14ac:dyDescent="0.25">
      <c r="A9" s="33" t="str">
        <f t="shared" si="0"/>
        <v>-</v>
      </c>
      <c r="B9" s="36"/>
      <c r="D9" s="38"/>
    </row>
    <row r="10" spans="1:15" x14ac:dyDescent="0.25">
      <c r="A10" s="33" t="str">
        <f t="shared" si="0"/>
        <v>Moderado-PAPEL</v>
      </c>
      <c r="B10" s="37" t="s">
        <v>31</v>
      </c>
      <c r="C10" s="27" t="s">
        <v>23</v>
      </c>
      <c r="D10" s="39">
        <v>0.3</v>
      </c>
    </row>
    <row r="11" spans="1:15" x14ac:dyDescent="0.25">
      <c r="A11" s="33" t="str">
        <f t="shared" si="0"/>
        <v>Moderado-CONCRETO</v>
      </c>
      <c r="B11" s="37" t="s">
        <v>31</v>
      </c>
      <c r="C11" s="27" t="s">
        <v>24</v>
      </c>
      <c r="D11" s="39">
        <v>0.35</v>
      </c>
    </row>
    <row r="12" spans="1:15" x14ac:dyDescent="0.25">
      <c r="A12" s="33" t="str">
        <f t="shared" si="0"/>
        <v>Moderado-HÍBRIDO</v>
      </c>
      <c r="B12" s="37" t="s">
        <v>31</v>
      </c>
      <c r="C12" s="27" t="s">
        <v>25</v>
      </c>
      <c r="D12" s="40">
        <v>0.125</v>
      </c>
    </row>
    <row r="13" spans="1:15" x14ac:dyDescent="0.25">
      <c r="A13" s="33" t="str">
        <f t="shared" si="0"/>
        <v>Moderado-FOFs</v>
      </c>
      <c r="B13" s="37" t="s">
        <v>31</v>
      </c>
      <c r="C13" s="27" t="s">
        <v>26</v>
      </c>
      <c r="D13" s="40">
        <v>0.125</v>
      </c>
    </row>
    <row r="14" spans="1:15" x14ac:dyDescent="0.25">
      <c r="A14" s="33" t="str">
        <f t="shared" si="0"/>
        <v>Moderado-DESENVOLVIMENTO</v>
      </c>
      <c r="B14" s="37" t="s">
        <v>31</v>
      </c>
      <c r="C14" s="27" t="s">
        <v>27</v>
      </c>
      <c r="D14" s="39">
        <v>0.05</v>
      </c>
    </row>
    <row r="15" spans="1:15" ht="15.75" thickBot="1" x14ac:dyDescent="0.3">
      <c r="A15" s="33" t="str">
        <f t="shared" si="0"/>
        <v>Moderado-HOTELARIA</v>
      </c>
      <c r="B15" s="37" t="s">
        <v>31</v>
      </c>
      <c r="C15" s="28" t="s">
        <v>28</v>
      </c>
      <c r="D15" s="41">
        <v>0.05</v>
      </c>
      <c r="G15" s="42"/>
    </row>
    <row r="16" spans="1:15" x14ac:dyDescent="0.25">
      <c r="A16" s="33" t="str">
        <f t="shared" si="0"/>
        <v>-</v>
      </c>
      <c r="B16" s="36"/>
      <c r="D16" s="38"/>
    </row>
    <row r="17" spans="1:4" x14ac:dyDescent="0.25">
      <c r="A17" s="33" t="str">
        <f t="shared" si="0"/>
        <v>Agressivo-PAPEL</v>
      </c>
      <c r="B17" s="37" t="s">
        <v>32</v>
      </c>
      <c r="C17" s="27" t="s">
        <v>23</v>
      </c>
      <c r="D17" s="39">
        <v>0.4</v>
      </c>
    </row>
    <row r="18" spans="1:4" x14ac:dyDescent="0.25">
      <c r="A18" s="33" t="str">
        <f t="shared" si="0"/>
        <v>Agressivo-CONCRETO</v>
      </c>
      <c r="B18" s="37" t="s">
        <v>32</v>
      </c>
      <c r="C18" s="27" t="s">
        <v>24</v>
      </c>
      <c r="D18" s="39">
        <v>0.2</v>
      </c>
    </row>
    <row r="19" spans="1:4" x14ac:dyDescent="0.25">
      <c r="A19" s="33" t="str">
        <f t="shared" si="0"/>
        <v>Agressivo-HÍBRIDO</v>
      </c>
      <c r="B19" s="37" t="s">
        <v>32</v>
      </c>
      <c r="C19" s="27" t="s">
        <v>25</v>
      </c>
      <c r="D19" s="39">
        <v>0.1</v>
      </c>
    </row>
    <row r="20" spans="1:4" x14ac:dyDescent="0.25">
      <c r="A20" s="33" t="str">
        <f t="shared" si="0"/>
        <v>Agressivo-FOFs</v>
      </c>
      <c r="B20" s="37" t="s">
        <v>32</v>
      </c>
      <c r="C20" s="27" t="s">
        <v>26</v>
      </c>
      <c r="D20" s="39">
        <v>0.15</v>
      </c>
    </row>
    <row r="21" spans="1:4" x14ac:dyDescent="0.25">
      <c r="A21" s="33" t="str">
        <f t="shared" si="0"/>
        <v>Agressivo-DESENVOLVIMENTO</v>
      </c>
      <c r="B21" s="37" t="s">
        <v>32</v>
      </c>
      <c r="C21" s="27" t="s">
        <v>27</v>
      </c>
      <c r="D21" s="40">
        <v>7.4999999999999997E-2</v>
      </c>
    </row>
    <row r="22" spans="1:4" ht="15.75" thickBot="1" x14ac:dyDescent="0.3">
      <c r="A22" s="33" t="str">
        <f t="shared" si="0"/>
        <v>Agressivo-HOTELARIA</v>
      </c>
      <c r="B22" s="44" t="s">
        <v>32</v>
      </c>
      <c r="C22" s="28" t="s">
        <v>28</v>
      </c>
      <c r="D22" s="43">
        <v>7.4999999999999997E-2</v>
      </c>
    </row>
    <row r="23" spans="1:4" x14ac:dyDescent="0.25">
      <c r="D23" s="42"/>
    </row>
    <row r="24" spans="1:4" x14ac:dyDescent="0.25"/>
    <row r="25" spans="1:4" x14ac:dyDescent="0.25"/>
    <row r="26" spans="1:4" x14ac:dyDescent="0.25"/>
  </sheetData>
  <mergeCells count="1">
    <mergeCell ref="J5:O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APP</vt:lpstr>
      <vt:lpstr>tabela</vt:lpstr>
      <vt:lpstr>aporte_mes</vt:lpstr>
      <vt:lpstr>patrimonio</vt:lpstr>
      <vt:lpstr>qte_anos</vt:lpstr>
      <vt:lpstr>Rendimento_carteira</vt:lpstr>
      <vt:lpstr>salario</vt:lpstr>
      <vt:lpstr>tx_mes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Luís de Almeida</dc:creator>
  <cp:lastModifiedBy>Edson Luís de Almeida</cp:lastModifiedBy>
  <dcterms:created xsi:type="dcterms:W3CDTF">2026-09-02T11:29:00Z</dcterms:created>
  <dcterms:modified xsi:type="dcterms:W3CDTF">2026-09-08T17:10:48Z</dcterms:modified>
</cp:coreProperties>
</file>